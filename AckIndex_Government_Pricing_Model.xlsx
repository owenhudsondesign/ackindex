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ricing Tiers" sheetId="3" state="visible" r:id="rId3"/>
    <sheet xmlns:r="http://schemas.openxmlformats.org/officeDocument/2006/relationships" name="Grant Budget" sheetId="4" state="visible" r:id="rId4"/>
    <sheet xmlns:r="http://schemas.openxmlformats.org/officeDocument/2006/relationships" name="ROI Calcul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00"/>
    <numFmt numFmtId="166" formatCode="0.0%"/>
    <numFmt numFmtId="167" formatCode="0.0"/>
    <numFmt numFmtId="168" formatCode="0.0&quot; months&quot;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1"/>
    </font>
    <font>
      <b val="1"/>
      <sz val="14"/>
    </font>
    <font>
      <b val="1"/>
      <color rgb="00FFFFFF"/>
      <sz val="12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6DCE5"/>
        <bgColor rgb="00D6DCE5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/>
    </xf>
    <xf numFmtId="164" fontId="0" fillId="5" borderId="0" pivotButton="0" quotePrefix="0" xfId="0"/>
    <xf numFmtId="0" fontId="6" fillId="0" borderId="0" pivotButton="0" quotePrefix="0" xfId="0"/>
    <xf numFmtId="164" fontId="6" fillId="5" borderId="0" pivotButton="0" quotePrefix="0" xfId="0"/>
    <xf numFmtId="0" fontId="7" fillId="0" borderId="0" pivotButton="0" quotePrefix="0" xfId="0"/>
    <xf numFmtId="164" fontId="7" fillId="6" borderId="0" pivotButton="0" quotePrefix="0" xfId="0"/>
    <xf numFmtId="165" fontId="0" fillId="6" borderId="0" pivotButton="0" quotePrefix="0" xfId="0"/>
    <xf numFmtId="3" fontId="0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7" fontId="0" fillId="5" borderId="0" pivotButton="0" quotePrefix="0" xfId="0"/>
    <xf numFmtId="164" fontId="6" fillId="6" borderId="0" pivotButton="0" quotePrefix="0" xfId="0"/>
    <xf numFmtId="9" fontId="4" fillId="6" borderId="0" pivotButton="0" quotePrefix="0" xfId="0"/>
    <xf numFmtId="168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40" customWidth="1" min="4" max="4"/>
  </cols>
  <sheetData>
    <row r="1">
      <c r="A1" s="1" t="inlineStr">
        <is>
          <t>ACKINDEX GOVERNMENT CONTRACT PRICING MODEL</t>
        </is>
      </c>
    </row>
    <row r="3">
      <c r="A3" s="2" t="inlineStr">
        <is>
          <t>📝 INSTRUCTIONS: Edit YELLOW cells to update all calculations</t>
        </is>
      </c>
    </row>
    <row r="5">
      <c r="A5" s="3" t="inlineStr">
        <is>
          <t>VOLUME ASSUMPTIONS</t>
        </is>
      </c>
    </row>
    <row r="6">
      <c r="A6" t="inlineStr">
        <is>
          <t>Monthly Footage (minutes)</t>
        </is>
      </c>
      <c r="B6" s="4" t="n">
        <v>5000</v>
      </c>
      <c r="C6" t="inlineStr">
        <is>
          <t>min/month</t>
        </is>
      </c>
      <c r="D6" t="inlineStr">
        <is>
          <t>Benchmark: 5,000 min = 83.3 hours</t>
        </is>
      </c>
    </row>
    <row r="7">
      <c r="A7" t="inlineStr">
        <is>
          <t>Monthly Queries</t>
        </is>
      </c>
      <c r="B7" s="4" t="n">
        <v>5000</v>
      </c>
      <c r="C7" t="inlineStr">
        <is>
          <t>queries/month</t>
        </is>
      </c>
      <c r="D7" t="inlineStr">
        <is>
          <t>User questions per month</t>
        </is>
      </c>
    </row>
    <row r="8">
      <c r="A8" t="inlineStr">
        <is>
          <t>Storage per Minute (MB)</t>
        </is>
      </c>
      <c r="B8" s="4" t="n">
        <v>125</v>
      </c>
      <c r="C8" t="inlineStr">
        <is>
          <t>MB</t>
        </is>
      </c>
      <c r="D8" t="inlineStr">
        <is>
          <t>Compressed video storage</t>
        </is>
      </c>
    </row>
    <row r="9">
      <c r="A9" t="inlineStr">
        <is>
          <t>Monthly Bandwidth (GB)</t>
        </is>
      </c>
      <c r="B9" s="4" t="n">
        <v>500</v>
      </c>
      <c r="C9" t="inlineStr">
        <is>
          <t>GB</t>
        </is>
      </c>
      <c r="D9" t="inlineStr">
        <is>
          <t>CDN streaming to users</t>
        </is>
      </c>
    </row>
    <row r="11">
      <c r="A11" s="3" t="inlineStr">
        <is>
          <t>INFRASTRUCTURE UNIT COSTS</t>
        </is>
      </c>
    </row>
    <row r="12">
      <c r="A12" t="inlineStr">
        <is>
          <t>Supabase Pro (monthly)</t>
        </is>
      </c>
      <c r="B12" s="5" t="n">
        <v>25</v>
      </c>
      <c r="C12" t="inlineStr">
        <is>
          <t>$/month</t>
        </is>
      </c>
      <c r="D12" t="inlineStr">
        <is>
          <t>PostgreSQL + pgvector database</t>
        </is>
      </c>
    </row>
    <row r="13">
      <c r="A13" t="inlineStr">
        <is>
          <t>Vercel Pro (monthly)</t>
        </is>
      </c>
      <c r="B13" s="5" t="n">
        <v>20</v>
      </c>
      <c r="C13" t="inlineStr">
        <is>
          <t>$/month</t>
        </is>
      </c>
      <c r="D13" t="inlineStr">
        <is>
          <t>Next.js hosting</t>
        </is>
      </c>
    </row>
    <row r="14">
      <c r="A14" t="inlineStr">
        <is>
          <t>Upstash Redis (monthly)</t>
        </is>
      </c>
      <c r="B14" s="5" t="n">
        <v>0</v>
      </c>
      <c r="C14" t="inlineStr">
        <is>
          <t>$/month</t>
        </is>
      </c>
      <c r="D14" t="inlineStr">
        <is>
          <t>Free tier caching</t>
        </is>
      </c>
    </row>
    <row r="15">
      <c r="A15" t="inlineStr">
        <is>
          <t>Sentry (monthly)</t>
        </is>
      </c>
      <c r="B15" s="5" t="n">
        <v>0</v>
      </c>
      <c r="C15" t="inlineStr">
        <is>
          <t>$/month</t>
        </is>
      </c>
      <c r="D15" t="inlineStr">
        <is>
          <t>Free tier monitoring</t>
        </is>
      </c>
    </row>
    <row r="17">
      <c r="A17" s="3" t="inlineStr">
        <is>
          <t>STORAGE UNIT COSTS</t>
        </is>
      </c>
    </row>
    <row r="18">
      <c r="A18" t="inlineStr">
        <is>
          <t>Bunny.net Storage</t>
        </is>
      </c>
      <c r="B18" s="6" t="n">
        <v>0.005</v>
      </c>
      <c r="C18" t="inlineStr">
        <is>
          <t>$/GB/month</t>
        </is>
      </c>
      <c r="D18" t="inlineStr">
        <is>
          <t>Video file storage</t>
        </is>
      </c>
    </row>
    <row r="19">
      <c r="A19" t="inlineStr">
        <is>
          <t>Bunny.net Bandwidth</t>
        </is>
      </c>
      <c r="B19" s="6" t="n">
        <v>0.01</v>
      </c>
      <c r="C19" t="inlineStr">
        <is>
          <t>$/GB</t>
        </is>
      </c>
      <c r="D19" t="inlineStr">
        <is>
          <t>CDN streaming</t>
        </is>
      </c>
    </row>
    <row r="21">
      <c r="A21" s="3" t="inlineStr">
        <is>
          <t>TRANSCRIPTION UNIT COSTS</t>
        </is>
      </c>
    </row>
    <row r="22">
      <c r="A22" t="inlineStr">
        <is>
          <t>AssemblyAI (per minute)</t>
        </is>
      </c>
      <c r="B22" s="6" t="n">
        <v>0.0222</v>
      </c>
      <c r="C22" t="inlineStr">
        <is>
          <t>$/min</t>
        </is>
      </c>
      <c r="D22" t="inlineStr">
        <is>
          <t>Primary - best quality</t>
        </is>
      </c>
    </row>
    <row r="23">
      <c r="A23" t="inlineStr">
        <is>
          <t>Gladia Nova-2 (per minute)</t>
        </is>
      </c>
      <c r="B23" s="6" t="n">
        <v>0.0043</v>
      </c>
      <c r="C23" t="inlineStr">
        <is>
          <t>$/min</t>
        </is>
      </c>
      <c r="D23" t="inlineStr">
        <is>
          <t>Alternative - budget</t>
        </is>
      </c>
    </row>
    <row r="25">
      <c r="A25" s="3" t="inlineStr">
        <is>
          <t>AI SERVICE UNIT COSTS</t>
        </is>
      </c>
    </row>
    <row r="26">
      <c r="A26" t="inlineStr">
        <is>
          <t>Voyage AI Embeddings</t>
        </is>
      </c>
      <c r="B26" s="5" t="n">
        <v>0.06</v>
      </c>
      <c r="C26" t="inlineStr">
        <is>
          <t>$/1M tokens</t>
        </is>
      </c>
      <c r="D26" t="inlineStr">
        <is>
          <t>Semantic search vectors</t>
        </is>
      </c>
    </row>
    <row r="27">
      <c r="A27" t="inlineStr">
        <is>
          <t>Claude Haiku Input</t>
        </is>
      </c>
      <c r="B27" s="5" t="n">
        <v>0.8</v>
      </c>
      <c r="C27" t="inlineStr">
        <is>
          <t>$/1M tokens</t>
        </is>
      </c>
      <c r="D27" t="inlineStr">
        <is>
          <t>Simple queries</t>
        </is>
      </c>
    </row>
    <row r="28">
      <c r="A28" t="inlineStr">
        <is>
          <t>Claude Haiku Output</t>
        </is>
      </c>
      <c r="B28" s="5" t="n">
        <v>4</v>
      </c>
      <c r="C28" t="inlineStr">
        <is>
          <t>$/1M tokens</t>
        </is>
      </c>
      <c r="D28" t="inlineStr">
        <is>
          <t>Simple responses</t>
        </is>
      </c>
    </row>
    <row r="29">
      <c r="A29" t="inlineStr">
        <is>
          <t>Claude Sonnet Input</t>
        </is>
      </c>
      <c r="B29" s="5" t="n">
        <v>3</v>
      </c>
      <c r="C29" t="inlineStr">
        <is>
          <t>$/1M tokens</t>
        </is>
      </c>
      <c r="D29" t="inlineStr">
        <is>
          <t>Complex queries</t>
        </is>
      </c>
    </row>
    <row r="30">
      <c r="A30" t="inlineStr">
        <is>
          <t>Claude Sonnet Output</t>
        </is>
      </c>
      <c r="B30" s="5" t="n">
        <v>15</v>
      </c>
      <c r="C30" t="inlineStr">
        <is>
          <t>$/1M tokens</t>
        </is>
      </c>
      <c r="D30" t="inlineStr">
        <is>
          <t>Complex responses</t>
        </is>
      </c>
    </row>
    <row r="31">
      <c r="A31" t="inlineStr">
        <is>
          <t>Haiku Query Percentage</t>
        </is>
      </c>
      <c r="B31" s="7" t="n">
        <v>0.8</v>
      </c>
      <c r="C31" t="inlineStr">
        <is>
          <t>%</t>
        </is>
      </c>
      <c r="D31" t="inlineStr">
        <is>
          <t>% of queries using Haiku</t>
        </is>
      </c>
    </row>
    <row r="32">
      <c r="A32" t="inlineStr">
        <is>
          <t>Tokens per Query (input)</t>
        </is>
      </c>
      <c r="B32" s="4" t="n">
        <v>800</v>
      </c>
      <c r="C32" t="inlineStr">
        <is>
          <t>tokens</t>
        </is>
      </c>
      <c r="D32" t="inlineStr">
        <is>
          <t>Average input tokens</t>
        </is>
      </c>
    </row>
    <row r="33">
      <c r="A33" t="inlineStr">
        <is>
          <t>Tokens per Query (output)</t>
        </is>
      </c>
      <c r="B33" s="4" t="n">
        <v>400</v>
      </c>
      <c r="C33" t="inlineStr">
        <is>
          <t>tokens</t>
        </is>
      </c>
      <c r="D33" t="inlineStr">
        <is>
          <t>Average output tokens</t>
        </is>
      </c>
    </row>
    <row r="34">
      <c r="A34" t="inlineStr">
        <is>
          <t>Tokens per Minute (embedding)</t>
        </is>
      </c>
      <c r="B34" s="4" t="n">
        <v>150</v>
      </c>
      <c r="C34" t="inlineStr">
        <is>
          <t>tokens</t>
        </is>
      </c>
      <c r="D34" t="inlineStr">
        <is>
          <t>For new content</t>
        </is>
      </c>
    </row>
    <row r="36">
      <c r="A36" s="3" t="inlineStr">
        <is>
          <t>ONE-TIME SETUP COSTS</t>
        </is>
      </c>
    </row>
    <row r="37">
      <c r="A37" t="inlineStr">
        <is>
          <t>Professional Services Rate</t>
        </is>
      </c>
      <c r="B37" s="5" t="n">
        <v>150</v>
      </c>
      <c r="C37" t="inlineStr">
        <is>
          <t>$/hour</t>
        </is>
      </c>
      <c r="D37" t="inlineStr">
        <is>
          <t>Integration &amp; customization</t>
        </is>
      </c>
    </row>
    <row r="38">
      <c r="A38" t="inlineStr">
        <is>
          <t>Professional Services Hours</t>
        </is>
      </c>
      <c r="B38" s="4" t="n">
        <v>40</v>
      </c>
      <c r="C38" t="inlineStr">
        <is>
          <t>hours</t>
        </is>
      </c>
      <c r="D38" t="inlineStr">
        <is>
          <t>Estimated setup time</t>
        </is>
      </c>
    </row>
    <row r="39">
      <c r="A39" t="inlineStr">
        <is>
          <t>Training Rate</t>
        </is>
      </c>
      <c r="B39" s="5" t="n">
        <v>250</v>
      </c>
      <c r="C39" t="inlineStr">
        <is>
          <t>$/hour</t>
        </is>
      </c>
      <c r="D39" t="inlineStr">
        <is>
          <t>Staff training</t>
        </is>
      </c>
    </row>
    <row r="40">
      <c r="A40" t="inlineStr">
        <is>
          <t>Training Hours</t>
        </is>
      </c>
      <c r="B40" s="4" t="n">
        <v>8</v>
      </c>
      <c r="C40" t="inlineStr">
        <is>
          <t>hours</t>
        </is>
      </c>
      <c r="D40" t="inlineStr">
        <is>
          <t>Admin + user training</t>
        </is>
      </c>
    </row>
    <row r="42">
      <c r="A42" s="3" t="inlineStr">
        <is>
          <t>MARKUP &amp; MARGIN SETTINGS</t>
        </is>
      </c>
    </row>
    <row r="43">
      <c r="A43" t="inlineStr">
        <is>
          <t>GSA Schedule Markup</t>
        </is>
      </c>
      <c r="B43" s="7" t="n">
        <v>0.15</v>
      </c>
      <c r="C43" t="inlineStr">
        <is>
          <t>%</t>
        </is>
      </c>
      <c r="D43" t="inlineStr">
        <is>
          <t>Standard 15% government markup</t>
        </is>
      </c>
    </row>
    <row r="44">
      <c r="A44" t="inlineStr">
        <is>
          <t>Target Gross Margin</t>
        </is>
      </c>
      <c r="B44" s="7" t="n">
        <v>0.5</v>
      </c>
      <c r="C44" t="inlineStr">
        <is>
          <t>%</t>
        </is>
      </c>
      <c r="D44" t="inlineStr">
        <is>
          <t>Target profit margin on pricing</t>
        </is>
      </c>
    </row>
  </sheetData>
  <mergeCells count="9">
    <mergeCell ref="A1:D1"/>
    <mergeCell ref="A17:D17"/>
    <mergeCell ref="A5:D5"/>
    <mergeCell ref="A3:D3"/>
    <mergeCell ref="A21:D21"/>
    <mergeCell ref="A25:D25"/>
    <mergeCell ref="A11:D11"/>
    <mergeCell ref="A42:D4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35" customWidth="1" min="5" max="5"/>
  </cols>
  <sheetData>
    <row r="1">
      <c r="A1" s="8" t="inlineStr">
        <is>
          <t>MONTHLY COST BREAKDOWN</t>
        </is>
      </c>
    </row>
    <row r="3">
      <c r="A3" s="9" t="inlineStr">
        <is>
          <t>Component</t>
        </is>
      </c>
      <c r="B3" s="9" t="inlineStr">
        <is>
          <t>Monthly Cost</t>
        </is>
      </c>
      <c r="C3" s="9" t="inlineStr">
        <is>
          <t>Annual Cost</t>
        </is>
      </c>
      <c r="D3" s="9" t="inlineStr">
        <is>
          <t>% of Total</t>
        </is>
      </c>
      <c r="E3" s="9" t="inlineStr">
        <is>
          <t>Formula Reference</t>
        </is>
      </c>
    </row>
    <row r="4">
      <c r="A4" s="3" t="inlineStr">
        <is>
          <t>INFRASTRUCTURE</t>
        </is>
      </c>
    </row>
    <row r="5">
      <c r="A5" t="inlineStr">
        <is>
          <t>Supabase Pro</t>
        </is>
      </c>
      <c r="B5" s="10">
        <f>Inputs!B10</f>
        <v/>
      </c>
      <c r="C5" s="10">
        <f>B5*12</f>
        <v/>
      </c>
      <c r="E5" t="inlineStr">
        <is>
          <t>Database</t>
        </is>
      </c>
    </row>
    <row r="6">
      <c r="A6" t="inlineStr">
        <is>
          <t>Vercel Pro</t>
        </is>
      </c>
      <c r="B6" s="10">
        <f>Inputs!B11</f>
        <v/>
      </c>
      <c r="C6" s="10">
        <f>B6*12</f>
        <v/>
      </c>
      <c r="E6" t="inlineStr">
        <is>
          <t>Hosting</t>
        </is>
      </c>
    </row>
    <row r="7">
      <c r="A7" t="inlineStr">
        <is>
          <t>Upstash Redis</t>
        </is>
      </c>
      <c r="B7" s="10">
        <f>Inputs!B12</f>
        <v/>
      </c>
      <c r="C7" s="10">
        <f>B7*12</f>
        <v/>
      </c>
      <c r="E7" t="inlineStr">
        <is>
          <t>Caching</t>
        </is>
      </c>
    </row>
    <row r="8">
      <c r="A8" t="inlineStr">
        <is>
          <t>Sentry</t>
        </is>
      </c>
      <c r="B8" s="10">
        <f>Inputs!B13</f>
        <v/>
      </c>
      <c r="C8" s="10">
        <f>B8*12</f>
        <v/>
      </c>
      <c r="E8" t="inlineStr">
        <is>
          <t>Monitoring</t>
        </is>
      </c>
    </row>
    <row r="9">
      <c r="A9" s="11" t="inlineStr">
        <is>
          <t>Infrastructure Subtotal</t>
        </is>
      </c>
      <c r="B9" s="12">
        <f>SUM(B5:B8)</f>
        <v/>
      </c>
      <c r="C9" s="12">
        <f>B9*12</f>
        <v/>
      </c>
    </row>
    <row r="11">
      <c r="A11" s="3" t="inlineStr">
        <is>
          <t>STORAGE</t>
        </is>
      </c>
    </row>
    <row r="12">
      <c r="A12" t="inlineStr">
        <is>
          <t>Video Storage</t>
        </is>
      </c>
      <c r="B12" s="10">
        <f>(Inputs!B6*Inputs!B8/1024)*Inputs!B16</f>
        <v/>
      </c>
      <c r="C12" s="10">
        <f>B12*12</f>
        <v/>
      </c>
      <c r="E12">
        <f>(minutes × MB/min ÷ 1024) × $/GB</f>
        <v/>
      </c>
    </row>
    <row r="13">
      <c r="A13" t="inlineStr">
        <is>
          <t>Video Bandwidth (CDN)</t>
        </is>
      </c>
      <c r="B13" s="10">
        <f>Inputs!B9*Inputs!B17</f>
        <v/>
      </c>
      <c r="C13" s="10">
        <f>B13*12</f>
        <v/>
      </c>
      <c r="E13">
        <f>GB × $/GB</f>
        <v/>
      </c>
    </row>
    <row r="14">
      <c r="A14" s="11" t="inlineStr">
        <is>
          <t>Storage Subtotal</t>
        </is>
      </c>
      <c r="B14" s="12">
        <f>SUM(B12:B13)</f>
        <v/>
      </c>
      <c r="C14" s="12">
        <f>B14*12</f>
        <v/>
      </c>
    </row>
    <row r="16">
      <c r="A16" s="3" t="inlineStr">
        <is>
          <t>TRANSCRIPTION</t>
        </is>
      </c>
    </row>
    <row r="17">
      <c r="A17" t="inlineStr">
        <is>
          <t>AssemblyAI Transcription</t>
        </is>
      </c>
      <c r="B17" s="10">
        <f>Inputs!B6*Inputs!B20</f>
        <v/>
      </c>
      <c r="C17" s="10">
        <f>B17*12</f>
        <v/>
      </c>
      <c r="E17">
        <f>minutes × $/min</f>
        <v/>
      </c>
    </row>
    <row r="19">
      <c r="A19" s="3" t="inlineStr">
        <is>
          <t>AI SERVICES</t>
        </is>
      </c>
    </row>
    <row r="20">
      <c r="A20" t="inlineStr">
        <is>
          <t>Embeddings (New Content)</t>
        </is>
      </c>
      <c r="B20" s="10">
        <f>Inputs!B6*Inputs!B32/1000000*Inputs!B24</f>
        <v/>
      </c>
      <c r="C20" s="10">
        <f>B20*12</f>
        <v/>
      </c>
      <c r="E20">
        <f>min × tokens/min ÷ 1M × $/1M</f>
        <v/>
      </c>
    </row>
    <row r="21">
      <c r="A21" t="inlineStr">
        <is>
          <t>Claude Haiku (Simple Queries)</t>
        </is>
      </c>
      <c r="B21" s="10">
        <f>Inputs!B7*Inputs!B29*((Inputs!B30/1000000*Inputs!B25)+(Inputs!B31/1000000*Inputs!B26))</f>
        <v/>
      </c>
      <c r="C21" s="10">
        <f>B21*12</f>
        <v/>
      </c>
      <c r="E21">
        <f>queries × haiku% × token costs</f>
        <v/>
      </c>
    </row>
    <row r="22">
      <c r="A22" t="inlineStr">
        <is>
          <t>Claude Sonnet (Complex Queries)</t>
        </is>
      </c>
      <c r="B22" s="10">
        <f>Inputs!B7*(1-Inputs!B29)*((Inputs!B30/1000000*Inputs!B27)+(Inputs!B31/1000000*Inputs!B28))</f>
        <v/>
      </c>
      <c r="C22" s="10">
        <f>B22*12</f>
        <v/>
      </c>
      <c r="E22">
        <f>queries × sonnet% × token costs</f>
        <v/>
      </c>
    </row>
    <row r="23">
      <c r="A23" s="11" t="inlineStr">
        <is>
          <t>AI Services Subtotal</t>
        </is>
      </c>
      <c r="B23" s="12">
        <f>SUM(B20:B22)</f>
        <v/>
      </c>
      <c r="C23" s="12">
        <f>B23*12</f>
        <v/>
      </c>
    </row>
    <row r="25">
      <c r="A25" s="13" t="inlineStr">
        <is>
          <t>TOTAL MONTHLY OPERATIONS</t>
        </is>
      </c>
      <c r="B25" s="14">
        <f>B9+B14+B17+B23</f>
        <v/>
      </c>
      <c r="C25" s="14">
        <f>B25*12</f>
        <v/>
      </c>
    </row>
    <row r="27">
      <c r="A27" s="11" t="inlineStr">
        <is>
          <t>Cost Per Minute of Footage</t>
        </is>
      </c>
      <c r="B27" s="15">
        <f>B25/Inputs!B6</f>
        <v/>
      </c>
      <c r="E27">
        <f>Total ÷ minutes</f>
        <v/>
      </c>
    </row>
    <row r="29">
      <c r="A29" s="3" t="inlineStr">
        <is>
          <t>ONE-TIME SETUP COSTS</t>
        </is>
      </c>
    </row>
    <row r="30">
      <c r="A30" t="inlineStr">
        <is>
          <t>Professional Services</t>
        </is>
      </c>
      <c r="B30" s="10">
        <f>Inputs!B35*Inputs!B36</f>
        <v/>
      </c>
      <c r="E30">
        <f>rate × hours</f>
        <v/>
      </c>
    </row>
    <row r="31">
      <c r="A31" t="inlineStr">
        <is>
          <t>Training</t>
        </is>
      </c>
      <c r="B31" s="10">
        <f>Inputs!B37*Inputs!B38</f>
        <v/>
      </c>
      <c r="E31">
        <f>rate × hours</f>
        <v/>
      </c>
    </row>
    <row r="32">
      <c r="A32" s="11" t="inlineStr">
        <is>
          <t>Setup Total</t>
        </is>
      </c>
      <c r="B32" s="12">
        <f>B30+B31</f>
        <v/>
      </c>
    </row>
    <row r="34">
      <c r="A34" s="3" t="inlineStr">
        <is>
          <t>WITH GSA MARKUP</t>
        </is>
      </c>
    </row>
    <row r="35">
      <c r="A35" t="inlineStr">
        <is>
          <t>Monthly Operations (with markup)</t>
        </is>
      </c>
      <c r="B35" s="10">
        <f>B25*(1+Inputs!B41)</f>
        <v/>
      </c>
    </row>
    <row r="36">
      <c r="A36" t="inlineStr">
        <is>
          <t>Setup (with markup)</t>
        </is>
      </c>
      <c r="B36" s="10">
        <f>B32*(1+Inputs!B41)</f>
        <v/>
      </c>
    </row>
  </sheetData>
  <mergeCells count="7">
    <mergeCell ref="A34:E34"/>
    <mergeCell ref="A29:E29"/>
    <mergeCell ref="A4:E4"/>
    <mergeCell ref="A16:E16"/>
    <mergeCell ref="A19:E19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CONTRACT PRICING TIERS</t>
        </is>
      </c>
    </row>
    <row r="3">
      <c r="A3" s="3" t="inlineStr">
        <is>
          <t>SET YOUR PRICES (edit yellow cells)</t>
        </is>
      </c>
    </row>
    <row r="4">
      <c r="A4" s="9" t="inlineStr">
        <is>
          <t>Tier</t>
        </is>
      </c>
      <c r="B4" s="9" t="inlineStr">
        <is>
          <t>Minutes/Month</t>
        </is>
      </c>
      <c r="C4" s="9" t="inlineStr">
        <is>
          <t>Your Price</t>
        </is>
      </c>
      <c r="D4" s="9" t="inlineStr">
        <is>
          <t>Cost</t>
        </is>
      </c>
      <c r="E4" s="9" t="inlineStr">
        <is>
          <t>Gross Profit</t>
        </is>
      </c>
      <c r="F4" s="9" t="inlineStr">
        <is>
          <t>Margin %</t>
        </is>
      </c>
      <c r="G4" s="9" t="inlineStr">
        <is>
          <t>Overage $/min</t>
        </is>
      </c>
      <c r="H4" s="9" t="inlineStr">
        <is>
          <t>Setup Fee</t>
        </is>
      </c>
    </row>
    <row r="5">
      <c r="A5" t="inlineStr">
        <is>
          <t>Basic</t>
        </is>
      </c>
      <c r="B5" s="16" t="n">
        <v>2500</v>
      </c>
      <c r="C5" s="5" t="n">
        <v>299</v>
      </c>
      <c r="D5" s="10">
        <f>'Cost Breakdown'!B27*B5+'Cost Breakdown'!B9</f>
        <v/>
      </c>
      <c r="E5" s="10">
        <f>C5-D5</f>
        <v/>
      </c>
      <c r="F5" s="17">
        <f>IF(C5&gt;0,E5/C5,0)</f>
        <v/>
      </c>
      <c r="G5" s="5" t="n">
        <v>0.15</v>
      </c>
      <c r="H5" s="10">
        <f>'Cost Breakdown'!B32*(1+Inputs!B41)</f>
        <v/>
      </c>
    </row>
    <row r="6">
      <c r="A6" t="inlineStr">
        <is>
          <t>Standard</t>
        </is>
      </c>
      <c r="B6" s="16" t="n">
        <v>5000</v>
      </c>
      <c r="C6" s="5" t="n">
        <v>399</v>
      </c>
      <c r="D6" s="10">
        <f>'Cost Breakdown'!B27*B6+'Cost Breakdown'!B9</f>
        <v/>
      </c>
      <c r="E6" s="10">
        <f>C6-D6</f>
        <v/>
      </c>
      <c r="F6" s="17">
        <f>IF(C6&gt;0,E6/C6,0)</f>
        <v/>
      </c>
      <c r="G6" s="5" t="n">
        <v>0.13</v>
      </c>
      <c r="H6" s="10">
        <f>'Cost Breakdown'!B32*(1+Inputs!B41)</f>
        <v/>
      </c>
    </row>
    <row r="7">
      <c r="A7" t="inlineStr">
        <is>
          <t>Professional</t>
        </is>
      </c>
      <c r="B7" s="16" t="n">
        <v>10000</v>
      </c>
      <c r="C7" s="5" t="n">
        <v>699</v>
      </c>
      <c r="D7" s="10">
        <f>'Cost Breakdown'!B27*B7+'Cost Breakdown'!B9</f>
        <v/>
      </c>
      <c r="E7" s="10">
        <f>C7-D7</f>
        <v/>
      </c>
      <c r="F7" s="17">
        <f>IF(C7&gt;0,E7/C7,0)</f>
        <v/>
      </c>
      <c r="G7" s="5" t="n">
        <v>0.11</v>
      </c>
      <c r="H7" s="10">
        <f>'Cost Breakdown'!B32*(1+Inputs!B41)</f>
        <v/>
      </c>
    </row>
    <row r="8">
      <c r="A8" t="inlineStr">
        <is>
          <t>Enterprise</t>
        </is>
      </c>
      <c r="B8" s="16" t="n">
        <v>25000</v>
      </c>
      <c r="C8" s="5" t="n">
        <v>1499</v>
      </c>
      <c r="D8" s="10">
        <f>'Cost Breakdown'!B27*B8+'Cost Breakdown'!B9</f>
        <v/>
      </c>
      <c r="E8" s="10">
        <f>C8-D8</f>
        <v/>
      </c>
      <c r="F8" s="17">
        <f>IF(C8&gt;0,E8/C8,0)</f>
        <v/>
      </c>
      <c r="G8" s="5" t="n">
        <v>0.09</v>
      </c>
      <c r="H8" s="10">
        <f>'Cost Breakdown'!B32*(1+Inputs!B41)</f>
        <v/>
      </c>
    </row>
    <row r="11">
      <c r="A11" s="3" t="inlineStr">
        <is>
          <t>ANNUAL CONTRACT VALUES</t>
        </is>
      </c>
    </row>
    <row r="12">
      <c r="A12" s="9" t="inlineStr">
        <is>
          <t>Tier</t>
        </is>
      </c>
      <c r="B12" s="9" t="inlineStr">
        <is>
          <t>Monthly Fee</t>
        </is>
      </c>
      <c r="C12" s="9" t="inlineStr">
        <is>
          <t>Annual Fee</t>
        </is>
      </c>
      <c r="D12" s="9" t="inlineStr">
        <is>
          <t>Setup</t>
        </is>
      </c>
      <c r="E12" s="9" t="inlineStr">
        <is>
          <t>Year 1 Total</t>
        </is>
      </c>
      <c r="F12" s="9" t="inlineStr">
        <is>
          <t>Year 2+ Annual</t>
        </is>
      </c>
      <c r="G12" s="9" t="inlineStr">
        <is>
          <t>Year 1 Margin</t>
        </is>
      </c>
      <c r="H12" s="9" t="inlineStr">
        <is>
          <t>Break-even Months</t>
        </is>
      </c>
    </row>
    <row r="13">
      <c r="A13" t="inlineStr">
        <is>
          <t>Basic</t>
        </is>
      </c>
      <c r="B13" s="18">
        <f>C5</f>
        <v/>
      </c>
      <c r="C13" s="18">
        <f>C5*12</f>
        <v/>
      </c>
      <c r="D13" s="18">
        <f>H5</f>
        <v/>
      </c>
      <c r="E13" s="10">
        <f>C13+D13</f>
        <v/>
      </c>
      <c r="F13" s="18">
        <f>C13</f>
        <v/>
      </c>
      <c r="G13" s="17">
        <f>(C13-(D5*12))/E13</f>
        <v/>
      </c>
      <c r="H13" s="19">
        <f>IF(E5&gt;0,D13/E5,0)</f>
        <v/>
      </c>
    </row>
    <row r="14">
      <c r="A14" t="inlineStr">
        <is>
          <t>Standard</t>
        </is>
      </c>
      <c r="B14" s="18">
        <f>C6</f>
        <v/>
      </c>
      <c r="C14" s="18">
        <f>C6*12</f>
        <v/>
      </c>
      <c r="D14" s="18">
        <f>H6</f>
        <v/>
      </c>
      <c r="E14" s="10">
        <f>C14+D14</f>
        <v/>
      </c>
      <c r="F14" s="18">
        <f>C14</f>
        <v/>
      </c>
      <c r="G14" s="17">
        <f>(C14-(D6*12))/E14</f>
        <v/>
      </c>
      <c r="H14" s="19">
        <f>IF(E6&gt;0,D14/E6,0)</f>
        <v/>
      </c>
    </row>
    <row r="15">
      <c r="A15" t="inlineStr">
        <is>
          <t>Professional</t>
        </is>
      </c>
      <c r="B15" s="18">
        <f>C7</f>
        <v/>
      </c>
      <c r="C15" s="18">
        <f>C7*12</f>
        <v/>
      </c>
      <c r="D15" s="18">
        <f>H7</f>
        <v/>
      </c>
      <c r="E15" s="10">
        <f>C15+D15</f>
        <v/>
      </c>
      <c r="F15" s="18">
        <f>C15</f>
        <v/>
      </c>
      <c r="G15" s="17">
        <f>(C15-(D7*12))/E15</f>
        <v/>
      </c>
      <c r="H15" s="19">
        <f>IF(E7&gt;0,D15/E7,0)</f>
        <v/>
      </c>
    </row>
    <row r="16">
      <c r="A16" t="inlineStr">
        <is>
          <t>Enterprise</t>
        </is>
      </c>
      <c r="B16" s="18">
        <f>C8</f>
        <v/>
      </c>
      <c r="C16" s="18">
        <f>C8*12</f>
        <v/>
      </c>
      <c r="D16" s="18">
        <f>H8</f>
        <v/>
      </c>
      <c r="E16" s="10">
        <f>C16+D16</f>
        <v/>
      </c>
      <c r="F16" s="18">
        <f>C16</f>
        <v/>
      </c>
      <c r="G16" s="17">
        <f>(C16-(D8*12))/E16</f>
        <v/>
      </c>
      <c r="H16" s="19">
        <f>IF(E8&gt;0,D16/E8,0)</f>
        <v/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8" t="inlineStr">
        <is>
          <t>3-YEAR GRANT BUDGET TEMPLATE</t>
        </is>
      </c>
    </row>
    <row r="3">
      <c r="A3" t="inlineStr">
        <is>
          <t>Select Minutes Tier:</t>
        </is>
      </c>
      <c r="B3" s="4" t="n">
        <v>5000</v>
      </c>
      <c r="C3" t="inlineStr">
        <is>
          <t>min/month</t>
        </is>
      </c>
    </row>
    <row r="5">
      <c r="A5" s="9" t="inlineStr">
        <is>
          <t>Line Item</t>
        </is>
      </c>
      <c r="B5" s="9" t="inlineStr">
        <is>
          <t>Year 1</t>
        </is>
      </c>
      <c r="C5" s="9" t="inlineStr">
        <is>
          <t>Year 2</t>
        </is>
      </c>
      <c r="D5" s="9" t="inlineStr">
        <is>
          <t>Year 3</t>
        </is>
      </c>
      <c r="E5" s="9" t="inlineStr">
        <is>
          <t>3-Year Total</t>
        </is>
      </c>
      <c r="F5" s="9" t="inlineStr">
        <is>
          <t>Notes</t>
        </is>
      </c>
    </row>
    <row r="6">
      <c r="A6" t="inlineStr">
        <is>
          <t>Platform Setup &amp; Integration</t>
        </is>
      </c>
      <c r="B6" s="10">
        <f>'Cost Breakdown'!B32*(1+Inputs!B41)</f>
        <v/>
      </c>
      <c r="C6" s="18" t="n">
        <v>0</v>
      </c>
      <c r="D6" s="18" t="n">
        <v>0</v>
      </c>
      <c r="E6" s="10">
        <f>SUM(B6:D6)</f>
        <v/>
      </c>
      <c r="F6" t="inlineStr">
        <is>
          <t>One-time</t>
        </is>
      </c>
    </row>
    <row r="7">
      <c r="A7" t="inlineStr">
        <is>
          <t>Annual Platform Operations</t>
        </is>
      </c>
      <c r="B7" s="10">
        <f>(('Cost Breakdown'!B27*B3)+'Cost Breakdown'!B9)*12*(1+Inputs!B41)</f>
        <v/>
      </c>
      <c r="C7" s="10">
        <f>B7</f>
        <v/>
      </c>
      <c r="D7" s="10">
        <f>B7</f>
        <v/>
      </c>
      <c r="E7" s="10">
        <f>SUM(B7:D7)</f>
        <v/>
      </c>
      <c r="F7">
        <f>3 min/month tier</f>
        <v/>
      </c>
    </row>
    <row r="8">
      <c r="A8" t="inlineStr">
        <is>
          <t>Contingency (10%)</t>
        </is>
      </c>
      <c r="B8" s="10">
        <f>(B6+B7)*0.1</f>
        <v/>
      </c>
      <c r="C8" s="10">
        <f>C7*0.1</f>
        <v/>
      </c>
      <c r="D8" s="10">
        <f>D7*0.1</f>
        <v/>
      </c>
      <c r="E8" s="10">
        <f>SUM(B8:D8)</f>
        <v/>
      </c>
    </row>
    <row r="9">
      <c r="A9" s="13" t="inlineStr">
        <is>
          <t>GRANT TOTAL</t>
        </is>
      </c>
      <c r="B9" s="14">
        <f>SUM(B6:B8)</f>
        <v/>
      </c>
      <c r="C9" s="14">
        <f>SUM(C6:C8)</f>
        <v/>
      </c>
      <c r="D9" s="14">
        <f>SUM(D6:D8)</f>
        <v/>
      </c>
      <c r="E9" s="14">
        <f>SUM(E6:E8)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8" t="inlineStr">
        <is>
          <t>ROI ANALYSIS FOR MUNICIPALITIES</t>
        </is>
      </c>
    </row>
    <row r="3">
      <c r="A3" s="3" t="inlineStr">
        <is>
          <t>MUNICIPALITY ASSUMPTIONS (edit yellow)</t>
        </is>
      </c>
    </row>
    <row r="4">
      <c r="A4" t="inlineStr">
        <is>
          <t>Staff Hours Saved per Month</t>
        </is>
      </c>
      <c r="B4" s="4" t="n">
        <v>40</v>
      </c>
      <c r="C4" t="inlineStr">
        <is>
          <t>hours</t>
        </is>
      </c>
      <c r="D4" t="inlineStr">
        <is>
          <t>Answering constituent inquiries</t>
        </is>
      </c>
    </row>
    <row r="5">
      <c r="A5" t="inlineStr">
        <is>
          <t>Average Staff Hourly Cost</t>
        </is>
      </c>
      <c r="B5" s="5" t="n">
        <v>50</v>
      </c>
      <c r="C5" t="inlineStr">
        <is>
          <t>$/hour</t>
        </is>
      </c>
      <c r="D5" t="inlineStr">
        <is>
          <t>Including benefits</t>
        </is>
      </c>
    </row>
    <row r="6">
      <c r="A6" t="inlineStr">
        <is>
          <t>Selected Pricing Tier</t>
        </is>
      </c>
      <c r="B6" s="4" t="n">
        <v>5000</v>
      </c>
      <c r="C6" t="inlineStr">
        <is>
          <t>min/month</t>
        </is>
      </c>
      <c r="D6" t="inlineStr">
        <is>
          <t>Match to Pricing Tiers sheet</t>
        </is>
      </c>
    </row>
    <row r="8">
      <c r="A8" s="3" t="inlineStr">
        <is>
          <t>CALCULATED VALUES</t>
        </is>
      </c>
    </row>
    <row r="9">
      <c r="A9" t="inlineStr">
        <is>
          <t>Monthly Labor Savings</t>
        </is>
      </c>
      <c r="B9" s="10">
        <f>B4*B5</f>
        <v/>
      </c>
    </row>
    <row r="10">
      <c r="A10" t="inlineStr">
        <is>
          <t>Annual Labor Savings</t>
        </is>
      </c>
      <c r="B10" s="10">
        <f>B9*12</f>
        <v/>
      </c>
    </row>
    <row r="11">
      <c r="A11" t="inlineStr">
        <is>
          <t>Annual Platform Cost</t>
        </is>
      </c>
      <c r="B11" s="10">
        <f>(('Cost Breakdown'!B27*B6)+'Cost Breakdown'!B9)*12*(1+Inputs!B41)</f>
        <v/>
      </c>
    </row>
    <row r="12">
      <c r="A12" t="inlineStr">
        <is>
          <t>Net Annual Benefit</t>
        </is>
      </c>
      <c r="B12" s="20">
        <f>B10-B11</f>
        <v/>
      </c>
    </row>
    <row r="13">
      <c r="A13" t="inlineStr">
        <is>
          <t>ROI Percentage</t>
        </is>
      </c>
      <c r="B13" s="21">
        <f>IF(B11&gt;0,B12/B11,0)</f>
        <v/>
      </c>
    </row>
    <row r="14">
      <c r="A14" t="inlineStr">
        <is>
          <t>Payback Period</t>
        </is>
      </c>
      <c r="B14" s="22">
        <f>IF(B9&gt;0,B11/12/B9,0)</f>
        <v/>
      </c>
    </row>
  </sheetData>
  <mergeCells count="3">
    <mergeCell ref="A8:E8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2025-11-29T22:03:17Z</dcterms:created>
  <dcterms:modified xmlns:dcterms="http://purl.org/dc/terms/" xmlns:xsi="http://www.w3.org/2001/XMLSchema-instance" xsi:type="dcterms:W3CDTF">2025-11-29T22:03:17Z</dcterms:modified>
</cp:coreProperties>
</file>